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d3da63267cb7e49d/Desktop/CyberLab/Risk Assessment/"/>
    </mc:Choice>
  </mc:AlternateContent>
  <xr:revisionPtr revIDLastSave="0" documentId="8_{DCB72845-594C-42A9-8F9F-FD646B798E6E}" xr6:coauthVersionLast="47" xr6:coauthVersionMax="47" xr10:uidLastSave="{00000000-0000-0000-0000-000000000000}"/>
  <bookViews>
    <workbookView xWindow="-108" yWindow="-108" windowWidth="23256" windowHeight="12456" xr2:uid="{BB3EC5EA-2285-42AF-ABA7-4D9883D71686}"/>
  </bookViews>
  <sheets>
    <sheet name="mint01-SCA" sheetId="2" r:id="rId1"/>
    <sheet name="Impact Vs Likelihood" sheetId="1" r:id="rId2"/>
    <sheet name="pre-cyberlab-risk-assessment" sheetId="4" r:id="rId3"/>
    <sheet name="post-cyberlab-remediation" sheetId="5" r:id="rId4"/>
    <sheet name="SLA Action Plan" sheetId="3" r:id="rId5"/>
  </sheets>
  <calcPr calcId="0"/>
</workbook>
</file>

<file path=xl/calcChain.xml><?xml version="1.0" encoding="utf-8"?>
<calcChain xmlns="http://schemas.openxmlformats.org/spreadsheetml/2006/main">
  <c r="F7" i="5" l="1"/>
  <c r="G7" i="5" s="1"/>
  <c r="G6" i="5"/>
  <c r="F6" i="5"/>
  <c r="F5" i="5"/>
  <c r="G5" i="5" s="1"/>
  <c r="F4" i="5"/>
  <c r="G4" i="5" s="1"/>
  <c r="I1" i="5"/>
  <c r="C2" i="5"/>
  <c r="I1" i="4"/>
  <c r="H2" i="4"/>
  <c r="E2" i="4"/>
  <c r="C2" i="4"/>
  <c r="G5" i="4"/>
  <c r="F5" i="4"/>
  <c r="F6" i="4"/>
  <c r="G6" i="4" s="1"/>
  <c r="F7" i="4"/>
  <c r="G7" i="4" s="1"/>
  <c r="F4" i="4"/>
  <c r="G4" i="4" s="1"/>
</calcChain>
</file>

<file path=xl/sharedStrings.xml><?xml version="1.0" encoding="utf-8"?>
<sst xmlns="http://schemas.openxmlformats.org/spreadsheetml/2006/main" count="389" uniqueCount="214">
  <si>
    <t>CyberLab - Impact Vs Likelihood</t>
  </si>
  <si>
    <t>Impact \ Likelihood</t>
  </si>
  <si>
    <t>1 - Rare</t>
  </si>
  <si>
    <t>2 - Unlikely</t>
  </si>
  <si>
    <t>3 - Possible</t>
  </si>
  <si>
    <t>4 - Likely</t>
  </si>
  <si>
    <t>5 - Almost Certain</t>
  </si>
  <si>
    <t>5 - Critical</t>
  </si>
  <si>
    <t>5 (Low)</t>
  </si>
  <si>
    <t>10 (Medium)</t>
  </si>
  <si>
    <t>15 (High)</t>
  </si>
  <si>
    <t>20 (Critical)</t>
  </si>
  <si>
    <t>25 (Critical)</t>
  </si>
  <si>
    <t>4 - High</t>
  </si>
  <si>
    <t>4 (Low)</t>
  </si>
  <si>
    <t>8 (Medium)</t>
  </si>
  <si>
    <t>12 (High)</t>
  </si>
  <si>
    <t>16 (High)</t>
  </si>
  <si>
    <t>3 - Medium</t>
  </si>
  <si>
    <t>3 (Low)</t>
  </si>
  <si>
    <t>6 (Medium)</t>
  </si>
  <si>
    <t>9 (Medium)</t>
  </si>
  <si>
    <t>2 - Low</t>
  </si>
  <si>
    <t>2 (Low)</t>
  </si>
  <si>
    <t>1 - Negligible</t>
  </si>
  <si>
    <t>1 (Low)</t>
  </si>
  <si>
    <t>Rationale</t>
  </si>
  <si>
    <t>ID</t>
  </si>
  <si>
    <t>Description</t>
  </si>
  <si>
    <t>Title</t>
  </si>
  <si>
    <t>File</t>
  </si>
  <si>
    <t>Policy ID</t>
  </si>
  <si>
    <t>Result</t>
  </si>
  <si>
    <t>condition</t>
  </si>
  <si>
    <t>Remediation</t>
  </si>
  <si>
    <t>Reason</t>
  </si>
  <si>
    <t>Compliance</t>
  </si>
  <si>
    <t>Rules</t>
  </si>
  <si>
    <t>Changing the default port you may reduce the number of successful attacks from zombie bots, an attacker or bot doing port-scanning can quickly identify your SSH port.</t>
  </si>
  <si>
    <t>The ssh daemon should not be listening on port 22 (the default value) for incoming connections.</t>
  </si>
  <si>
    <t>SSH Hardening: Port should not be 22</t>
  </si>
  <si>
    <t>/etc/ssh/sshd_config</t>
  </si>
  <si>
    <t>unix_audit</t>
  </si>
  <si>
    <t>not applicable</t>
  </si>
  <si>
    <t>all</t>
  </si>
  <si>
    <t>Change the Port option value in the sshd_config file.</t>
  </si>
  <si>
    <t>Could not open file '/etc/ssh/sshd_config'</t>
  </si>
  <si>
    <t>[{"value":"CM.1","key":"nist_800_53"},{"value":"2.2.4","key":"pci_dss"}]</t>
  </si>
  <si>
    <t>[{"type":"file","rule":"f:$sshd_file -&gt; !r:^# &amp;&amp; r:Port &amp;&amp; !r:\\s*\\t*22$"}]</t>
  </si>
  <si>
    <t>The Protocol parameter dictates which version of the SSH communication and encryption protocols are in use. Version 1 of the SSH protocol has weaknesses.</t>
  </si>
  <si>
    <t>The SSH protocol should not be 1.</t>
  </si>
  <si>
    <t>SSH Hardening: Protocol should be set to 2</t>
  </si>
  <si>
    <t>Change the Protocol option value in the sshd_config file.</t>
  </si>
  <si>
    <t>[{"type":"file","rule":"f:$sshd_file -&gt; r:^\\s*\\t*Protocol\\s*\\t*2"}]</t>
  </si>
  <si>
    <t>The option PermitRootLogin specifies whether root can log in using ssh. If you want log in as root, you should use the option "Match" and restrict it to a few IP addresses.</t>
  </si>
  <si>
    <t>The option PermitRootLogin should be set to no.</t>
  </si>
  <si>
    <t>SSH Hardening: Root account should not be able to log in</t>
  </si>
  <si>
    <t>Change the PermitRootLogin option value in the sshd_config file.</t>
  </si>
  <si>
    <t>[]</t>
  </si>
  <si>
    <t>[{"type":"file","rule":"f:$sshd_file -&gt; r:^\\s*PermitRootLogin\\s*\\t*no"}]</t>
  </si>
  <si>
    <t>Access only by public key. Generally people will use weak passwords and have poor password practices. Keys are considered stronger than password.</t>
  </si>
  <si>
    <t>The option PubkeyAuthentication should be set yes.</t>
  </si>
  <si>
    <t>SSH Hardening: No Public Key authentication</t>
  </si>
  <si>
    <t>Change the PubkeyAuthentication option value in the sshd_config file.</t>
  </si>
  <si>
    <t>[{"type":"file","rule":"f:$sshd_file -&gt; r:^\\s*PubkeyAuthentication\\s*\\t*yes"}]</t>
  </si>
  <si>
    <t>The option PasswordAuthentication specifies whether we should use password-based authentication. Use public key authentication instead of passwords.</t>
  </si>
  <si>
    <t>The option PasswordAuthentication should be set to no.</t>
  </si>
  <si>
    <t>SSH Hardening: Password Authentication should be disabled</t>
  </si>
  <si>
    <t>Change the PasswordAuthentication option value in the sshd_config file.</t>
  </si>
  <si>
    <t>[{"type":"file","rule":"f:$sshd_file -&gt; r:^\\s*PasswordAuthentication\\s*\\t*no"}]</t>
  </si>
  <si>
    <t>The option PermitEmptyPasswords specifies whether the server allows logging in to accounts with a null password. Accounts with null passwords are a bad practice.</t>
  </si>
  <si>
    <t>The option PermitEmptyPasswords should be set to no.</t>
  </si>
  <si>
    <t>SSH Hardening: Empty passwords should not be allowed</t>
  </si>
  <si>
    <t>Change the PermitEmptyPasswords option value in the sshd_config file.</t>
  </si>
  <si>
    <t>[{"type":"file","rule":"f:$sshd_file -&gt; r:^\\s*PermitEmptyPasswords\\s*\\t*no"}]</t>
  </si>
  <si>
    <t>The option IgnoreRhosts specifies whether rhosts or shosts files should not be used in authentication. For security reasons it is recommended to no use rhosts or shosts files for authentication.</t>
  </si>
  <si>
    <t>The option IgnoreRhosts should be set to yes.</t>
  </si>
  <si>
    <t>SSH Hardening: Rhost or shost should not be used for authentication</t>
  </si>
  <si>
    <t>Change the IgnoreRhosts option value in the sshd_config file.</t>
  </si>
  <si>
    <t>[{"type":"file","rule":"f:$sshd_file -&gt; r:^\\s*\\t*IgnoreRhosts\\s*\\t*yes"}]</t>
  </si>
  <si>
    <t>The option LoginGraceTime specifies how long in seconds after a connection request the server will wait before disconnecting if the user has not successfully logged in. 30 seconds is the recommended time for avoiding open connections without authenticate.</t>
  </si>
  <si>
    <t>The option LoginGraceTime should be set to 60 or less.</t>
  </si>
  <si>
    <t>SSH Hardening: Grace Time should be one minute or less.</t>
  </si>
  <si>
    <t>Change the LoginGraceTime option value in the sshd_config file.</t>
  </si>
  <si>
    <t>[{"type":"file","rule":"f:$sshd_file -&gt; n:^\\s*LoginGraceTime\\s*\\t*(\\d+)s compare &lt;= 60"}]</t>
  </si>
  <si>
    <t>The MaxAuthTries parameter specifies the maximum number of authentication attempts permitted per connection. Once the number of failures reaches half this value, additional failures are logged. This should be set to 4.</t>
  </si>
  <si>
    <t>The option MaxAuthTries should be set to 4 or less.</t>
  </si>
  <si>
    <t>SSH Hardening: Wrong Maximum number of authentication attempts</t>
  </si>
  <si>
    <t>Change the MaxAuthTries option value in the sshd_config file.</t>
  </si>
  <si>
    <t>[{"type":"file","rule":"f:$sshd_file -&gt; n:^\\s*MaxAuthTries\\s*\\t*(\\d+) compare &lt;= 4"}]</t>
  </si>
  <si>
    <t>Even though the .rhosts files are ineffective if support is disabled in /etc/pam.conf, disabling the ability to use .rhosts files in SSH provides an additional layer of protection.</t>
  </si>
  <si>
    <t>The HostbasedAuthentication parameter specifies if authentication is allowed through trusted hosts via the user of .rhosts , or /etc/hosts.equiv , along with successful public key client host authentication. This option only applies to SSH Protocol Version 2.</t>
  </si>
  <si>
    <t>SSH Hardening: Ensure SSH HostbasedAuthentication is disabled</t>
  </si>
  <si>
    <t>Edit the /etc/ssh/sshd_config file to set the parameter as follows: HostbasedAuthentication no</t>
  </si>
  <si>
    <t>[{"value":"164.312.a.2.IV,164.312.e.1,164.312.e.2.I,164.312.e.2.II","key":"hipaa"},{"value":"SC.8","key":"nist_800_53"},{"value":"4.1","key":"pci_dss"},{"value":"CC6.1,CC6.7,CC7.2","key":"tsc"}]</t>
  </si>
  <si>
    <t>[{"type":"file","rule":"f:$sshd_file -&gt; r:^\\s*\\t*HostbasedAuthentication\\s*\\t*no"}]</t>
  </si>
  <si>
    <t>Strong passwords protect systems from being hacked through brute force methods.</t>
  </si>
  <si>
    <t>The pam_pwquality.so module and pam_cracklib.so module (depending on the Linux distribution used) checks the strength of passwords. It performs checks such as making sure a password is not a dictionary word, it is a certain length, contains a mix of characters (e.g. alphabet, numeric, other) and more.</t>
  </si>
  <si>
    <t>Ensure retry option for passwords is less than 3</t>
  </si>
  <si>
    <t>/etc/pam.d/common-password,/etc/pam.d/password-auth,/etc/pam.d/system-auth,/etc/pam.d/system-auth-ac,/etc/pam.d/passwd</t>
  </si>
  <si>
    <t>passed</t>
  </si>
  <si>
    <t>Edit the /etc/pam.d/common-password and /etc/security/pwquality.conf files, or the /etc/pam.d/password-auth and /etc/pam.d/system-auth files, to include the appropriate options for pam_pwquality.so or pam_cracklib.so and to conform to site policy.</t>
  </si>
  <si>
    <t>[{"value":"4.4,5.7,16.12","key":"cis_csc"}]</t>
  </si>
  <si>
    <t>[{"type":"file","rule":"f:$pam_d_files -&gt; r:password &amp;&amp; r:requisite|required &amp;&amp; r:pam_cracklib.so|pam_pwquality.so &amp;&amp; n:retry\\s*=\\s*(\\d+) compare &lt;= 3"}]</t>
  </si>
  <si>
    <t>Ensure passwords are longer than 14 characters</t>
  </si>
  <si>
    <t>Could not open file '/etc/pam.d/password-auth'</t>
  </si>
  <si>
    <t>[{"type":"file","rule":"f:$pam_d_files -&gt; r:pam_cracklib.so &amp;&amp; n:minlen=(\\d+) compare &gt;= 14"}]</t>
  </si>
  <si>
    <t>Ensure passwords contain at least one digit</t>
  </si>
  <si>
    <t>[{"type":"file","rule":"f:$pam_d_files -&gt; r:pam_cracklib.so &amp;&amp; r:dcredit\\s*\\t*="}]</t>
  </si>
  <si>
    <t>Ensure passwords contain at least one lowercase character</t>
  </si>
  <si>
    <t>[{"type":"file","rule":"f:$pam_d_files -&gt; r:pam_cracklib.so &amp;&amp; r:lcredit\\s*\\t*="}]</t>
  </si>
  <si>
    <t>Ensure passwords contain at least one uppercase character</t>
  </si>
  <si>
    <t>[{"type":"file","rule":"f:$pam_d_files -&gt; r:pam_cracklib.so &amp;&amp; r:ucredit\\s*\\t*="}]</t>
  </si>
  <si>
    <t>Ensure passwords contain at least one special character</t>
  </si>
  <si>
    <t>[{"type":"file","rule":"f:$pam_d_files -&gt; r:pam_cracklib.so &amp;&amp; r:ocredit\\s*\\t*="}]</t>
  </si>
  <si>
    <t>Locking out user IDs after n unsuccessful consecutive login attempts mitigates brute force password attacks against your systems.</t>
  </si>
  <si>
    <t>Lock out users after n unsuccessful consecutive login attempts. The first sets of changes are made to the PAM configuration files. The second set of changes are applied to the program specific PAM configuration file. The second set of changes must be applied to each program that will lock out users.</t>
  </si>
  <si>
    <t>Ensure lockout for failed password attempts is configured</t>
  </si>
  <si>
    <t>/etc/pam.d/common-auth</t>
  </si>
  <si>
    <t>failed</t>
  </si>
  <si>
    <t>Edit the /etc/pam.d/common-auth file and add the auth line below: #auth required pam_tally2.so onerr=fail audit silent deny=5 unlock_time=900</t>
  </si>
  <si>
    <t>[{"type":"file","rule":"f:/etc/pam.d/common-auth -&gt; !r:^# &amp;&amp; r:auth\\s*\\t*required\\s*\\t*pam_tally2.so &amp;&amp; r:onerr=fail &amp;&amp; r:audit &amp;&amp; r:silent &amp;&amp; r:deny\\s*=\\s*\\d &amp;&amp; r:unlock_time\\s*=\\s*\\d\\d\\d+"}]</t>
  </si>
  <si>
    <t>The SHA-512 algorithm provides much stronger hashing than MD5, thus providing additional protection to the system by increasing the level of effort for an attacker to successfully determine passwords. Note that these change only apply to accounts configured on the local system.</t>
  </si>
  <si>
    <t>The commands below change password encryption from md5 to sha512 (a much stronger hashing algorithm). All existing accounts will need to perform a password change to upgrade the stored hashes to the new algorithm.</t>
  </si>
  <si>
    <t>Ensure password hashing algorithm is SHA-512</t>
  </si>
  <si>
    <t>Edit the /etc/pam.d/common-password file to include the sha512 option for pam_unix.so as shown: password required pam_unix.so sha512</t>
  </si>
  <si>
    <t>[{"value":"16.14","key":"cis_csc"}]</t>
  </si>
  <si>
    <t>[{"type":"file","rule":"f:$pam_d_files -&gt; r:^password\\.+pam_unix.so\\.+sha512"}]</t>
  </si>
  <si>
    <t>The SHA-512 algorithm provides much stronger hashing than MD5, thus providing additional protection to the system by increasing the level of effort for an attacker to successfully determine passwords.</t>
  </si>
  <si>
    <t>SHA-512 and SHA-256 are much stronger hashing algorithms than MD5.</t>
  </si>
  <si>
    <t>Ensure passwords in /etc/shadow are hashed with SHA-512 or SHA-256</t>
  </si>
  <si>
    <t>/etc/shadow</t>
  </si>
  <si>
    <t>none</t>
  </si>
  <si>
    <t>Set the default algorithm for password hashing in /etc/shadow to SHA-512 or SHA-256.</t>
  </si>
  <si>
    <t>[{"type":"file","rule":"f:/etc/shadow -&gt; r:^\\w+:\\$1\\$|^\\w+:\\$2\\$|^\\w+:\\$md5\\$|^\\w+:\\$md5\\$|^\\w+:\\$__unix__\\$"}]</t>
  </si>
  <si>
    <t>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t>
  </si>
  <si>
    <t>The PASS_MAX_DAYS parameter in /etc/login.defs allows an administrator to force passwords to expire once they reach a defined age. It is recommended that the PASS_MAX_DAYS parameter be set to less than or equal to 365 days.</t>
  </si>
  <si>
    <t>Ensure password expiration is 365 days or less</t>
  </si>
  <si>
    <t>/etc/login.defs</t>
  </si>
  <si>
    <t>any</t>
  </si>
  <si>
    <t>Set the PASS_MAX_DAYS parameter to conform to site policy in /etc/login.defs.</t>
  </si>
  <si>
    <t>[{"value":"4.4,16","key":"cis_csc"}]</t>
  </si>
  <si>
    <t>[{"type":"file","rule":"f:/etc/login.defs -&gt; n:^PASS_MAX_DAYS\\s*\\t*(\\d+)$ compare &lt;= 365"}]</t>
  </si>
  <si>
    <t>Without a Mandatory Access Control system installed only the default Discretionary Access Control system will be available.</t>
  </si>
  <si>
    <t>SELinux and AppArmor provide Mandatory Access Controls.</t>
  </si>
  <si>
    <t>Ensure SELinux or AppArmor are installed</t>
  </si>
  <si>
    <t>-</t>
  </si>
  <si>
    <t>Run one of the following commands to install SELinux or apparmor: # apt-get install selinux-basics Or: # apt-get install apparmor apparmor-profiles apparmor-utils</t>
  </si>
  <si>
    <t>[{"value":"14.4,14.6","key":"cis_csc"}]</t>
  </si>
  <si>
    <t>[{"type":"command","rule":"c:dpkg -s apparmor -&gt; r:install ok installed"},{"type":"command","rule":"c:dpkg -s selinux-basics -&gt; r:install ok installed"}]</t>
  </si>
  <si>
    <t>If the system does not need to print jobs or accept print jobs from other systems, it is recommended that CUPS be disabled to reduce the potential attack surface.</t>
  </si>
  <si>
    <t>The Common Unix Print System (CUPS) provides the ability to print to both local and network printers. A system running CUPS can also accept print jobs from remote systems and print them to local printers. It also provides a web based remote administration capability.</t>
  </si>
  <si>
    <t>Ensure CUPS is not enabled</t>
  </si>
  <si>
    <t>Run the following command to disable cups: # systemctl disable cups</t>
  </si>
  <si>
    <t>[{"value":"9.1,9.2","key":"cis_csc"}]</t>
  </si>
  <si>
    <t>[{"type":"command","rule":"c:systemctl is-enabled cups -&gt; r:^enabled"}]</t>
  </si>
  <si>
    <t>The capturing of system events provides system administrators with information to allow them to determine if unauthorized access to their system is occurring.</t>
  </si>
  <si>
    <t>Turn on the auditd daemon to record system events.</t>
  </si>
  <si>
    <t>Ensure auditd service is enabled</t>
  </si>
  <si>
    <t>Run the following command to enable auditd: # systemctl enable auditd</t>
  </si>
  <si>
    <t>[{"value":"6.2,6.3","key":"cis_csc"}]</t>
  </si>
  <si>
    <t>[{"type":"command","rule":"c:systemctl is-enabled auditd -&gt; r:^enabled"}]</t>
  </si>
  <si>
    <t>Severity Level</t>
  </si>
  <si>
    <t>Risk Score Range</t>
  </si>
  <si>
    <t>Color Code</t>
  </si>
  <si>
    <t>Remediation SLA</t>
  </si>
  <si>
    <t>Operational Action Required</t>
  </si>
  <si>
    <t>Critical</t>
  </si>
  <si>
    <t>20 – 25</t>
  </si>
  <si>
    <t>Dark Red</t>
  </si>
  <si>
    <t>7 Days</t>
  </si>
  <si>
    <t>High</t>
  </si>
  <si>
    <t>12 – 19</t>
  </si>
  <si>
    <t>Light Red</t>
  </si>
  <si>
    <t>14 Days</t>
  </si>
  <si>
    <t>Priority remediation within the current operational sprint.</t>
  </si>
  <si>
    <t>Medium</t>
  </si>
  <si>
    <t>6 – 11</t>
  </si>
  <si>
    <t>Yellow</t>
  </si>
  <si>
    <t>30 Days</t>
  </si>
  <si>
    <t>Scheduled remediation during the standard monthly maintenance window.</t>
  </si>
  <si>
    <t>Low</t>
  </si>
  <si>
    <t>1 – 5</t>
  </si>
  <si>
    <t>Green</t>
  </si>
  <si>
    <t>60–90 Days</t>
  </si>
  <si>
    <t>Risk accepted or remediated during routine system updates.</t>
  </si>
  <si>
    <t>Severity &amp; SLA Action Guide</t>
  </si>
  <si>
    <t>Emergency patch deployment, direct escalation to CISO and system owners.</t>
  </si>
  <si>
    <t>Risk ID</t>
  </si>
  <si>
    <t>Asset Name</t>
  </si>
  <si>
    <t>Vulnerability / Control Failure</t>
  </si>
  <si>
    <t>Impact</t>
  </si>
  <si>
    <t>Likelihood</t>
  </si>
  <si>
    <t>Risk Score (L×I)</t>
  </si>
  <si>
    <t>Mitigation SLA</t>
  </si>
  <si>
    <t>Status</t>
  </si>
  <si>
    <t>RISK-MINT-01</t>
  </si>
  <si>
    <t>mint01</t>
  </si>
  <si>
    <t>Missing PAM account lockout configuration</t>
  </si>
  <si>
    <t>Open</t>
  </si>
  <si>
    <t>RISK-MINT-02</t>
  </si>
  <si>
    <t>RISK-MINT-03</t>
  </si>
  <si>
    <t>RISK-MINT-04</t>
  </si>
  <si>
    <t>Unnecessary print service (CUPS) running</t>
  </si>
  <si>
    <t>Disabled auditd logging daemon</t>
  </si>
  <si>
    <t>Risk Severity</t>
  </si>
  <si>
    <t>HOMELAB RISK REGISTER</t>
  </si>
  <si>
    <t>Compliance Score:</t>
  </si>
  <si>
    <t>Total Scanned Controls:</t>
  </si>
  <si>
    <t>Passed:</t>
  </si>
  <si>
    <t>Failed:</t>
  </si>
  <si>
    <t>Password expiration not bounded (more than 365 days)</t>
  </si>
  <si>
    <t>Migrated</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</si>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</sst>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sz val="16"/>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5050"/>
        <bgColor indexed="64"/>
      </patternFill>
    </fill>
    <fill>
      <patternFill patternType="solid">
        <fgColor rgb="FFC00000"/>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vertical="center"/>
    </xf>
    <xf numFmtId="0" fontId="0" fillId="35" borderId="0" xfId="0" applyFill="1" applyAlignment="1">
      <alignment horizontal="center" vertical="center"/>
    </xf>
    <xf numFmtId="0" fontId="20" fillId="34" borderId="10" xfId="0" applyFont="1" applyFill="1" applyBorder="1" applyAlignment="1">
      <alignment horizontal="center" vertical="center"/>
    </xf>
    <xf numFmtId="0" fontId="0" fillId="33" borderId="10" xfId="0" applyFill="1" applyBorder="1" applyAlignment="1">
      <alignment horizontal="center" vertical="center"/>
    </xf>
    <xf numFmtId="0" fontId="0" fillId="35" borderId="10" xfId="0" applyFill="1" applyBorder="1" applyAlignment="1">
      <alignment horizontal="center" vertical="center"/>
    </xf>
    <xf numFmtId="0" fontId="0" fillId="36" borderId="10" xfId="0" applyFill="1" applyBorder="1" applyAlignment="1">
      <alignment horizontal="center" vertical="center"/>
    </xf>
    <xf numFmtId="0" fontId="0" fillId="37" borderId="10" xfId="0" applyFill="1" applyBorder="1" applyAlignment="1">
      <alignment horizontal="center" vertical="center"/>
    </xf>
    <xf numFmtId="0" fontId="17" fillId="38" borderId="10" xfId="0" applyFont="1" applyFill="1" applyBorder="1" applyAlignment="1">
      <alignment horizontal="center" vertical="center"/>
    </xf>
    <xf numFmtId="0" fontId="19" fillId="39" borderId="10" xfId="0" applyFont="1" applyFill="1" applyBorder="1" applyAlignment="1">
      <alignment horizontal="center" vertical="center"/>
    </xf>
    <xf numFmtId="0" fontId="21" fillId="40" borderId="0" xfId="0" applyFont="1" applyFill="1" applyAlignment="1">
      <alignment horizontal="center" vertical="center"/>
    </xf>
    <xf numFmtId="0" fontId="0" fillId="39" borderId="10" xfId="0" applyFill="1" applyBorder="1" applyAlignment="1">
      <alignment horizontal="center" vertical="center"/>
    </xf>
    <xf numFmtId="0" fontId="18" fillId="41" borderId="0" xfId="0" applyFont="1" applyFill="1" applyAlignment="1">
      <alignment horizontal="center" vertical="center"/>
    </xf>
    <xf numFmtId="0" fontId="18" fillId="42" borderId="0" xfId="0" applyFont="1" applyFill="1" applyAlignment="1">
      <alignment horizontal="center" vertical="center"/>
    </xf>
    <xf numFmtId="0" fontId="18" fillId="43" borderId="0" xfId="0" applyFont="1" applyFill="1" applyAlignment="1">
      <alignment horizontal="center" vertical="center"/>
    </xf>
    <xf numFmtId="0" fontId="18" fillId="44" borderId="0" xfId="0" applyFont="1" applyFill="1" applyAlignment="1">
      <alignment horizontal="center" vertical="center"/>
    </xf>
    <xf numFmtId="0" fontId="18" fillId="45" borderId="0" xfId="0" applyFont="1" applyFill="1" applyAlignment="1">
      <alignment horizontal="center" vertical="center"/>
    </xf>
    <xf numFmtId="0" fontId="18" fillId="36" borderId="0" xfId="0" applyFont="1" applyFill="1" applyAlignment="1">
      <alignment horizontal="center" vertical="center"/>
    </xf>
    <xf numFmtId="0" fontId="18" fillId="35" borderId="0" xfId="0" applyFont="1" applyFill="1" applyAlignment="1">
      <alignment horizontal="center" vertical="center"/>
    </xf>
    <xf numFmtId="0" fontId="18" fillId="46" borderId="0" xfId="0" applyFont="1" applyFill="1" applyAlignment="1">
      <alignment horizontal="center" vertical="center"/>
    </xf>
    <xf numFmtId="10" fontId="18" fillId="36" borderId="0" xfId="0" applyNumberFormat="1" applyFont="1" applyFill="1" applyAlignment="1">
      <alignment horizontal="center" vertical="center"/>
    </xf>
    <xf numFmtId="10" fontId="18" fillId="36" borderId="0" xfId="1" applyNumberFormat="1"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
    <dxf>
      <fill>
        <patternFill>
          <bgColor theme="9" tint="0.59996337778862885"/>
        </patternFill>
      </fill>
    </dxf>
    <dxf>
      <font>
        <color theme="0"/>
      </font>
      <fill>
        <patternFill>
          <bgColor rgb="FFC00000"/>
        </patternFill>
      </fill>
    </dxf>
    <dxf>
      <fill>
        <patternFill>
          <bgColor theme="7" tint="0.79998168889431442"/>
        </patternFill>
      </fill>
    </dxf>
    <dxf>
      <fill>
        <patternFill>
          <bgColor rgb="FFFF5050"/>
        </patternFill>
      </fill>
    </dxf>
    <dxf>
      <fill>
        <patternFill>
          <bgColor theme="9" tint="0.59996337778862885"/>
        </patternFill>
      </fill>
    </dxf>
    <dxf>
      <font>
        <color theme="0"/>
      </font>
      <fill>
        <patternFill>
          <bgColor rgb="FFC00000"/>
        </patternFill>
      </fill>
    </dxf>
    <dxf>
      <fill>
        <patternFill>
          <bgColor theme="7" tint="0.79998168889431442"/>
        </patternFill>
      </fill>
    </dxf>
    <dxf>
      <fill>
        <patternFill>
          <bgColor rgb="FFFF5050"/>
        </patternFill>
      </fill>
    </dxf>
    <dxf>
      <font>
        <color theme="0"/>
      </font>
      <fill>
        <patternFill>
          <bgColor rgb="FFC00000"/>
        </patternFill>
      </fill>
    </dxf>
    <dxf>
      <fill>
        <patternFill>
          <bgColor theme="7" tint="0.79998168889431442"/>
        </patternFill>
      </fill>
    </dxf>
    <dxf>
      <fill>
        <patternFill>
          <bgColor rgb="FFFF5050"/>
        </patternFill>
      </fill>
    </dxf>
    <dxf>
      <fill>
        <patternFill>
          <bgColor theme="7" tint="0.79998168889431442"/>
        </patternFill>
      </fill>
    </dxf>
    <dxf>
      <fill>
        <patternFill>
          <bgColor rgb="FFFF5050"/>
        </patternFill>
      </fill>
    </dxf>
    <dxf>
      <fill>
        <patternFill>
          <bgColor rgb="FFFF505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8F0B-160D-4C6C-B188-8D2E847A0E85}">
  <dimension ref="A1:L24"/>
  <sheetViews>
    <sheetView tabSelected="1" workbookViewId="0">
      <selection sqref="A1:L24"/>
    </sheetView>
  </sheetViews>
  <sheetFormatPr defaultRowHeight="14.4" x14ac:dyDescent="0.3"/>
  <sheetData>
    <row r="1" spans="1:12" x14ac:dyDescent="0.3">
      <c r="A1" t="s">
        <v>26</v>
      </c>
      <c r="B1" t="s">
        <v>27</v>
      </c>
      <c r="C1" t="s">
        <v>28</v>
      </c>
      <c r="D1" t="s">
        <v>29</v>
      </c>
      <c r="E1" t="s">
        <v>30</v>
      </c>
      <c r="F1" t="s">
        <v>31</v>
      </c>
      <c r="G1" t="s">
        <v>32</v>
      </c>
      <c r="H1" t="s">
        <v>33</v>
      </c>
      <c r="I1" t="s">
        <v>34</v>
      </c>
      <c r="J1" t="s">
        <v>35</v>
      </c>
      <c r="K1" t="s">
        <v>36</v>
      </c>
      <c r="L1" t="s">
        <v>37</v>
      </c>
    </row>
    <row r="2" spans="1:12" x14ac:dyDescent="0.3">
      <c r="A2" t="s">
        <v>38</v>
      </c>
      <c r="B2">
        <v>3000</v>
      </c>
      <c r="C2" t="s">
        <v>39</v>
      </c>
      <c r="D2" t="s">
        <v>40</v>
      </c>
      <c r="E2" t="s">
        <v>41</v>
      </c>
      <c r="F2" t="s">
        <v>42</v>
      </c>
      <c r="G2" t="s">
        <v>43</v>
      </c>
      <c r="H2" t="s">
        <v>44</v>
      </c>
      <c r="I2" t="s">
        <v>45</v>
      </c>
      <c r="J2" t="s">
        <v>46</v>
      </c>
      <c r="K2" t="s">
        <v>47</v>
      </c>
      <c r="L2" t="s">
        <v>48</v>
      </c>
    </row>
    <row r="3" spans="1:12" x14ac:dyDescent="0.3">
      <c r="A3" t="s">
        <v>49</v>
      </c>
      <c r="B3">
        <v>3001</v>
      </c>
      <c r="C3" t="s">
        <v>50</v>
      </c>
      <c r="D3" t="s">
        <v>51</v>
      </c>
      <c r="E3" t="s">
        <v>41</v>
      </c>
      <c r="F3" t="s">
        <v>42</v>
      </c>
      <c r="G3" t="s">
        <v>43</v>
      </c>
      <c r="H3" t="s">
        <v>44</v>
      </c>
      <c r="I3" t="s">
        <v>52</v>
      </c>
      <c r="J3" t="s">
        <v>46</v>
      </c>
      <c r="K3" t="s">
        <v>47</v>
      </c>
      <c r="L3" t="s">
        <v>53</v>
      </c>
    </row>
    <row r="4" spans="1:12" x14ac:dyDescent="0.3">
      <c r="A4" t="s">
        <v>54</v>
      </c>
      <c r="B4">
        <v>3002</v>
      </c>
      <c r="C4" t="s">
        <v>55</v>
      </c>
      <c r="D4" t="s">
        <v>56</v>
      </c>
      <c r="E4" t="s">
        <v>41</v>
      </c>
      <c r="F4" t="s">
        <v>42</v>
      </c>
      <c r="G4" t="s">
        <v>43</v>
      </c>
      <c r="H4" t="s">
        <v>44</v>
      </c>
      <c r="I4" t="s">
        <v>57</v>
      </c>
      <c r="J4" t="s">
        <v>46</v>
      </c>
      <c r="K4" t="s">
        <v>58</v>
      </c>
      <c r="L4" t="s">
        <v>59</v>
      </c>
    </row>
    <row r="5" spans="1:12" x14ac:dyDescent="0.3">
      <c r="A5" t="s">
        <v>60</v>
      </c>
      <c r="B5">
        <v>3003</v>
      </c>
      <c r="C5" t="s">
        <v>61</v>
      </c>
      <c r="D5" t="s">
        <v>62</v>
      </c>
      <c r="E5" t="s">
        <v>41</v>
      </c>
      <c r="F5" t="s">
        <v>42</v>
      </c>
      <c r="G5" t="s">
        <v>43</v>
      </c>
      <c r="H5" t="s">
        <v>44</v>
      </c>
      <c r="I5" t="s">
        <v>63</v>
      </c>
      <c r="J5" t="s">
        <v>46</v>
      </c>
      <c r="K5" t="s">
        <v>47</v>
      </c>
      <c r="L5" t="s">
        <v>64</v>
      </c>
    </row>
    <row r="6" spans="1:12" x14ac:dyDescent="0.3">
      <c r="A6" t="s">
        <v>65</v>
      </c>
      <c r="B6">
        <v>3004</v>
      </c>
      <c r="C6" t="s">
        <v>66</v>
      </c>
      <c r="D6" t="s">
        <v>67</v>
      </c>
      <c r="E6" t="s">
        <v>41</v>
      </c>
      <c r="F6" t="s">
        <v>42</v>
      </c>
      <c r="G6" t="s">
        <v>43</v>
      </c>
      <c r="H6" t="s">
        <v>44</v>
      </c>
      <c r="I6" t="s">
        <v>68</v>
      </c>
      <c r="J6" t="s">
        <v>46</v>
      </c>
      <c r="K6" t="s">
        <v>47</v>
      </c>
      <c r="L6" t="s">
        <v>69</v>
      </c>
    </row>
    <row r="7" spans="1:12" x14ac:dyDescent="0.3">
      <c r="A7" t="s">
        <v>70</v>
      </c>
      <c r="B7">
        <v>3005</v>
      </c>
      <c r="C7" t="s">
        <v>71</v>
      </c>
      <c r="D7" t="s">
        <v>72</v>
      </c>
      <c r="E7" t="s">
        <v>41</v>
      </c>
      <c r="F7" t="s">
        <v>42</v>
      </c>
      <c r="G7" t="s">
        <v>43</v>
      </c>
      <c r="H7" t="s">
        <v>44</v>
      </c>
      <c r="I7" t="s">
        <v>73</v>
      </c>
      <c r="J7" t="s">
        <v>46</v>
      </c>
      <c r="K7" t="s">
        <v>47</v>
      </c>
      <c r="L7" t="s">
        <v>74</v>
      </c>
    </row>
    <row r="8" spans="1:12" x14ac:dyDescent="0.3">
      <c r="A8" t="s">
        <v>75</v>
      </c>
      <c r="B8">
        <v>3006</v>
      </c>
      <c r="C8" t="s">
        <v>76</v>
      </c>
      <c r="D8" t="s">
        <v>77</v>
      </c>
      <c r="E8" t="s">
        <v>41</v>
      </c>
      <c r="F8" t="s">
        <v>42</v>
      </c>
      <c r="G8" t="s">
        <v>43</v>
      </c>
      <c r="H8" t="s">
        <v>44</v>
      </c>
      <c r="I8" t="s">
        <v>78</v>
      </c>
      <c r="J8" t="s">
        <v>46</v>
      </c>
      <c r="K8" t="s">
        <v>47</v>
      </c>
      <c r="L8" t="s">
        <v>79</v>
      </c>
    </row>
    <row r="9" spans="1:12" x14ac:dyDescent="0.3">
      <c r="A9" t="s">
        <v>80</v>
      </c>
      <c r="B9">
        <v>3007</v>
      </c>
      <c r="C9" t="s">
        <v>81</v>
      </c>
      <c r="D9" t="s">
        <v>82</v>
      </c>
      <c r="E9" t="s">
        <v>41</v>
      </c>
      <c r="F9" t="s">
        <v>42</v>
      </c>
      <c r="G9" t="s">
        <v>43</v>
      </c>
      <c r="H9" t="s">
        <v>44</v>
      </c>
      <c r="I9" t="s">
        <v>83</v>
      </c>
      <c r="J9" t="s">
        <v>46</v>
      </c>
      <c r="K9" t="s">
        <v>47</v>
      </c>
      <c r="L9" t="s">
        <v>84</v>
      </c>
    </row>
    <row r="10" spans="1:12" x14ac:dyDescent="0.3">
      <c r="A10" t="s">
        <v>85</v>
      </c>
      <c r="B10">
        <v>3008</v>
      </c>
      <c r="C10" t="s">
        <v>86</v>
      </c>
      <c r="D10" t="s">
        <v>87</v>
      </c>
      <c r="E10" t="s">
        <v>41</v>
      </c>
      <c r="F10" t="s">
        <v>42</v>
      </c>
      <c r="G10" t="s">
        <v>43</v>
      </c>
      <c r="H10" t="s">
        <v>44</v>
      </c>
      <c r="I10" t="s">
        <v>88</v>
      </c>
      <c r="J10" t="s">
        <v>46</v>
      </c>
      <c r="K10" t="s">
        <v>47</v>
      </c>
      <c r="L10" t="s">
        <v>89</v>
      </c>
    </row>
    <row r="11" spans="1:12" x14ac:dyDescent="0.3">
      <c r="A11" t="s">
        <v>90</v>
      </c>
      <c r="B11">
        <v>3009</v>
      </c>
      <c r="C11" t="s">
        <v>91</v>
      </c>
      <c r="D11" t="s">
        <v>92</v>
      </c>
      <c r="E11" t="s">
        <v>41</v>
      </c>
      <c r="F11" t="s">
        <v>42</v>
      </c>
      <c r="G11" t="s">
        <v>43</v>
      </c>
      <c r="H11" t="s">
        <v>44</v>
      </c>
      <c r="I11" t="s">
        <v>93</v>
      </c>
      <c r="J11" t="s">
        <v>46</v>
      </c>
      <c r="K11" t="s">
        <v>94</v>
      </c>
      <c r="L11" t="s">
        <v>95</v>
      </c>
    </row>
    <row r="12" spans="1:12" x14ac:dyDescent="0.3">
      <c r="A12" t="s">
        <v>96</v>
      </c>
      <c r="B12">
        <v>3010</v>
      </c>
      <c r="C12" t="s">
        <v>97</v>
      </c>
      <c r="D12" t="s">
        <v>98</v>
      </c>
      <c r="E12" t="s">
        <v>99</v>
      </c>
      <c r="F12" t="s">
        <v>42</v>
      </c>
      <c r="G12" t="s">
        <v>100</v>
      </c>
      <c r="H12" t="s">
        <v>44</v>
      </c>
      <c r="I12" t="s">
        <v>101</v>
      </c>
      <c r="K12" t="s">
        <v>102</v>
      </c>
      <c r="L12" t="s">
        <v>103</v>
      </c>
    </row>
    <row r="13" spans="1:12" x14ac:dyDescent="0.3">
      <c r="A13" t="s">
        <v>96</v>
      </c>
      <c r="B13">
        <v>3011</v>
      </c>
      <c r="C13" t="s">
        <v>97</v>
      </c>
      <c r="D13" t="s">
        <v>104</v>
      </c>
      <c r="E13" t="s">
        <v>99</v>
      </c>
      <c r="F13" t="s">
        <v>42</v>
      </c>
      <c r="G13" t="s">
        <v>43</v>
      </c>
      <c r="H13" t="s">
        <v>44</v>
      </c>
      <c r="I13" t="s">
        <v>101</v>
      </c>
      <c r="J13" t="s">
        <v>105</v>
      </c>
      <c r="K13" t="s">
        <v>102</v>
      </c>
      <c r="L13" t="s">
        <v>106</v>
      </c>
    </row>
    <row r="14" spans="1:12" x14ac:dyDescent="0.3">
      <c r="A14" t="s">
        <v>96</v>
      </c>
      <c r="B14">
        <v>3012</v>
      </c>
      <c r="C14" t="s">
        <v>97</v>
      </c>
      <c r="D14" t="s">
        <v>107</v>
      </c>
      <c r="E14" t="s">
        <v>99</v>
      </c>
      <c r="F14" t="s">
        <v>42</v>
      </c>
      <c r="G14" t="s">
        <v>43</v>
      </c>
      <c r="H14" t="s">
        <v>44</v>
      </c>
      <c r="I14" t="s">
        <v>101</v>
      </c>
      <c r="J14" t="s">
        <v>105</v>
      </c>
      <c r="K14" t="s">
        <v>102</v>
      </c>
      <c r="L14" t="s">
        <v>108</v>
      </c>
    </row>
    <row r="15" spans="1:12" x14ac:dyDescent="0.3">
      <c r="A15" t="s">
        <v>96</v>
      </c>
      <c r="B15">
        <v>3013</v>
      </c>
      <c r="C15" t="s">
        <v>97</v>
      </c>
      <c r="D15" t="s">
        <v>109</v>
      </c>
      <c r="E15" t="s">
        <v>99</v>
      </c>
      <c r="F15" t="s">
        <v>42</v>
      </c>
      <c r="G15" t="s">
        <v>43</v>
      </c>
      <c r="H15" t="s">
        <v>44</v>
      </c>
      <c r="I15" t="s">
        <v>101</v>
      </c>
      <c r="J15" t="s">
        <v>105</v>
      </c>
      <c r="K15" t="s">
        <v>102</v>
      </c>
      <c r="L15" t="s">
        <v>110</v>
      </c>
    </row>
    <row r="16" spans="1:12" x14ac:dyDescent="0.3">
      <c r="A16" t="s">
        <v>96</v>
      </c>
      <c r="B16">
        <v>3014</v>
      </c>
      <c r="C16" t="s">
        <v>97</v>
      </c>
      <c r="D16" t="s">
        <v>111</v>
      </c>
      <c r="E16" t="s">
        <v>99</v>
      </c>
      <c r="F16" t="s">
        <v>42</v>
      </c>
      <c r="G16" t="s">
        <v>43</v>
      </c>
      <c r="H16" t="s">
        <v>44</v>
      </c>
      <c r="I16" t="s">
        <v>101</v>
      </c>
      <c r="J16" t="s">
        <v>105</v>
      </c>
      <c r="K16" t="s">
        <v>102</v>
      </c>
      <c r="L16" t="s">
        <v>112</v>
      </c>
    </row>
    <row r="17" spans="1:12" x14ac:dyDescent="0.3">
      <c r="A17" t="s">
        <v>96</v>
      </c>
      <c r="B17">
        <v>3015</v>
      </c>
      <c r="C17" t="s">
        <v>97</v>
      </c>
      <c r="D17" t="s">
        <v>113</v>
      </c>
      <c r="E17" t="s">
        <v>99</v>
      </c>
      <c r="F17" t="s">
        <v>42</v>
      </c>
      <c r="G17" t="s">
        <v>43</v>
      </c>
      <c r="H17" t="s">
        <v>44</v>
      </c>
      <c r="I17" t="s">
        <v>101</v>
      </c>
      <c r="J17" t="s">
        <v>105</v>
      </c>
      <c r="K17" t="s">
        <v>102</v>
      </c>
      <c r="L17" t="s">
        <v>114</v>
      </c>
    </row>
    <row r="18" spans="1:12" x14ac:dyDescent="0.3">
      <c r="A18" t="s">
        <v>115</v>
      </c>
      <c r="B18">
        <v>3016</v>
      </c>
      <c r="C18" t="s">
        <v>116</v>
      </c>
      <c r="D18" t="s">
        <v>117</v>
      </c>
      <c r="E18" t="s">
        <v>118</v>
      </c>
      <c r="F18" t="s">
        <v>42</v>
      </c>
      <c r="G18" t="s">
        <v>119</v>
      </c>
      <c r="H18" t="s">
        <v>44</v>
      </c>
      <c r="I18" t="s">
        <v>120</v>
      </c>
      <c r="K18" t="s">
        <v>58</v>
      </c>
      <c r="L18" t="s">
        <v>121</v>
      </c>
    </row>
    <row r="19" spans="1:12" x14ac:dyDescent="0.3">
      <c r="A19" t="s">
        <v>122</v>
      </c>
      <c r="B19">
        <v>3017</v>
      </c>
      <c r="C19" t="s">
        <v>123</v>
      </c>
      <c r="D19" t="s">
        <v>124</v>
      </c>
      <c r="E19" t="s">
        <v>99</v>
      </c>
      <c r="F19" t="s">
        <v>42</v>
      </c>
      <c r="G19" t="s">
        <v>43</v>
      </c>
      <c r="H19" t="s">
        <v>44</v>
      </c>
      <c r="I19" t="s">
        <v>125</v>
      </c>
      <c r="J19" t="s">
        <v>105</v>
      </c>
      <c r="K19" t="s">
        <v>126</v>
      </c>
      <c r="L19" t="s">
        <v>127</v>
      </c>
    </row>
    <row r="20" spans="1:12" x14ac:dyDescent="0.3">
      <c r="A20" t="s">
        <v>128</v>
      </c>
      <c r="B20">
        <v>3018</v>
      </c>
      <c r="C20" t="s">
        <v>129</v>
      </c>
      <c r="D20" t="s">
        <v>130</v>
      </c>
      <c r="E20" t="s">
        <v>131</v>
      </c>
      <c r="F20" t="s">
        <v>42</v>
      </c>
      <c r="G20" t="s">
        <v>100</v>
      </c>
      <c r="H20" t="s">
        <v>132</v>
      </c>
      <c r="I20" t="s">
        <v>133</v>
      </c>
      <c r="K20" t="s">
        <v>58</v>
      </c>
      <c r="L20" t="s">
        <v>134</v>
      </c>
    </row>
    <row r="21" spans="1:12" x14ac:dyDescent="0.3">
      <c r="A21" t="s">
        <v>135</v>
      </c>
      <c r="B21">
        <v>3019</v>
      </c>
      <c r="C21" t="s">
        <v>136</v>
      </c>
      <c r="D21" t="s">
        <v>137</v>
      </c>
      <c r="E21" t="s">
        <v>138</v>
      </c>
      <c r="F21" t="s">
        <v>42</v>
      </c>
      <c r="G21" t="s">
        <v>119</v>
      </c>
      <c r="H21" t="s">
        <v>139</v>
      </c>
      <c r="I21" t="s">
        <v>140</v>
      </c>
      <c r="K21" t="s">
        <v>141</v>
      </c>
      <c r="L21" t="s">
        <v>142</v>
      </c>
    </row>
    <row r="22" spans="1:12" x14ac:dyDescent="0.3">
      <c r="A22" t="s">
        <v>143</v>
      </c>
      <c r="B22">
        <v>3020</v>
      </c>
      <c r="C22" t="s">
        <v>144</v>
      </c>
      <c r="D22" t="s">
        <v>145</v>
      </c>
      <c r="E22" t="s">
        <v>146</v>
      </c>
      <c r="F22" t="s">
        <v>42</v>
      </c>
      <c r="G22" t="s">
        <v>100</v>
      </c>
      <c r="H22" t="s">
        <v>139</v>
      </c>
      <c r="I22" t="s">
        <v>147</v>
      </c>
      <c r="K22" t="s">
        <v>148</v>
      </c>
      <c r="L22" t="s">
        <v>149</v>
      </c>
    </row>
    <row r="23" spans="1:12" x14ac:dyDescent="0.3">
      <c r="A23" t="s">
        <v>150</v>
      </c>
      <c r="B23">
        <v>3021</v>
      </c>
      <c r="C23" t="s">
        <v>151</v>
      </c>
      <c r="D23" t="s">
        <v>152</v>
      </c>
      <c r="E23" t="s">
        <v>146</v>
      </c>
      <c r="F23" t="s">
        <v>42</v>
      </c>
      <c r="G23" t="s">
        <v>119</v>
      </c>
      <c r="H23" t="s">
        <v>132</v>
      </c>
      <c r="I23" t="s">
        <v>153</v>
      </c>
      <c r="K23" t="s">
        <v>154</v>
      </c>
      <c r="L23" t="s">
        <v>155</v>
      </c>
    </row>
    <row r="24" spans="1:12" x14ac:dyDescent="0.3">
      <c r="A24" t="s">
        <v>156</v>
      </c>
      <c r="B24">
        <v>3022</v>
      </c>
      <c r="C24" t="s">
        <v>157</v>
      </c>
      <c r="D24" t="s">
        <v>158</v>
      </c>
      <c r="E24" t="s">
        <v>146</v>
      </c>
      <c r="F24" t="s">
        <v>42</v>
      </c>
      <c r="G24" t="s">
        <v>119</v>
      </c>
      <c r="H24" t="s">
        <v>44</v>
      </c>
      <c r="I24" t="s">
        <v>159</v>
      </c>
      <c r="K24" t="s">
        <v>160</v>
      </c>
      <c r="L24"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1F75-B3AA-413F-A180-B0DB462EA36C}">
  <dimension ref="G2:L9"/>
  <sheetViews>
    <sheetView workbookViewId="0">
      <selection activeCell="G12" sqref="G12"/>
    </sheetView>
  </sheetViews>
  <sheetFormatPr defaultRowHeight="14.4" x14ac:dyDescent="0.3"/>
  <cols>
    <col min="7" max="7" width="22.77734375" customWidth="1"/>
    <col min="8" max="8" width="11.5546875" customWidth="1"/>
    <col min="9" max="9" width="13.88671875" customWidth="1"/>
    <col min="10" max="11" width="13.21875" customWidth="1"/>
    <col min="12" max="12" width="15.77734375" customWidth="1"/>
  </cols>
  <sheetData>
    <row r="2" spans="7:12" ht="30.6" customHeight="1" x14ac:dyDescent="0.3">
      <c r="G2" s="9" t="s">
        <v>0</v>
      </c>
      <c r="H2" s="9"/>
      <c r="I2" s="9"/>
      <c r="J2" s="9"/>
      <c r="K2" s="9"/>
      <c r="L2" s="9"/>
    </row>
    <row r="4" spans="7:12" ht="28.2" customHeight="1" x14ac:dyDescent="0.3">
      <c r="G4" s="3" t="s">
        <v>1</v>
      </c>
      <c r="H4" s="4" t="s">
        <v>2</v>
      </c>
      <c r="I4" s="4" t="s">
        <v>3</v>
      </c>
      <c r="J4" s="4" t="s">
        <v>4</v>
      </c>
      <c r="K4" s="4" t="s">
        <v>5</v>
      </c>
      <c r="L4" s="4" t="s">
        <v>6</v>
      </c>
    </row>
    <row r="5" spans="7:12" ht="28.8" customHeight="1" x14ac:dyDescent="0.3">
      <c r="G5" s="4" t="s">
        <v>7</v>
      </c>
      <c r="H5" s="5" t="s">
        <v>8</v>
      </c>
      <c r="I5" s="6" t="s">
        <v>9</v>
      </c>
      <c r="J5" s="7" t="s">
        <v>10</v>
      </c>
      <c r="K5" s="8" t="s">
        <v>11</v>
      </c>
      <c r="L5" s="8" t="s">
        <v>12</v>
      </c>
    </row>
    <row r="6" spans="7:12" ht="30.6" customHeight="1" x14ac:dyDescent="0.3">
      <c r="G6" s="4" t="s">
        <v>13</v>
      </c>
      <c r="H6" s="5" t="s">
        <v>14</v>
      </c>
      <c r="I6" s="6" t="s">
        <v>15</v>
      </c>
      <c r="J6" s="7" t="s">
        <v>16</v>
      </c>
      <c r="K6" s="7" t="s">
        <v>17</v>
      </c>
      <c r="L6" s="8" t="s">
        <v>11</v>
      </c>
    </row>
    <row r="7" spans="7:12" ht="30.6" customHeight="1" x14ac:dyDescent="0.3">
      <c r="G7" s="4" t="s">
        <v>18</v>
      </c>
      <c r="H7" s="5" t="s">
        <v>19</v>
      </c>
      <c r="I7" s="6" t="s">
        <v>20</v>
      </c>
      <c r="J7" s="6" t="s">
        <v>21</v>
      </c>
      <c r="K7" s="7" t="s">
        <v>16</v>
      </c>
      <c r="L7" s="7" t="s">
        <v>10</v>
      </c>
    </row>
    <row r="8" spans="7:12" ht="29.4" customHeight="1" x14ac:dyDescent="0.3">
      <c r="G8" s="4" t="s">
        <v>22</v>
      </c>
      <c r="H8" s="5" t="s">
        <v>23</v>
      </c>
      <c r="I8" s="5" t="s">
        <v>14</v>
      </c>
      <c r="J8" s="6" t="s">
        <v>20</v>
      </c>
      <c r="K8" s="6" t="s">
        <v>15</v>
      </c>
      <c r="L8" s="6" t="s">
        <v>9</v>
      </c>
    </row>
    <row r="9" spans="7:12" ht="27" customHeight="1" x14ac:dyDescent="0.3">
      <c r="G9" s="4" t="s">
        <v>24</v>
      </c>
      <c r="H9" s="5" t="s">
        <v>25</v>
      </c>
      <c r="I9" s="5" t="s">
        <v>23</v>
      </c>
      <c r="J9" s="5" t="s">
        <v>19</v>
      </c>
      <c r="K9" s="5" t="s">
        <v>14</v>
      </c>
      <c r="L9" s="5" t="s">
        <v>8</v>
      </c>
    </row>
  </sheetData>
  <mergeCells count="1">
    <mergeCell ref="G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CCF5-A163-415A-B5E2-A19838765DB7}">
  <dimension ref="A1:I7"/>
  <sheetViews>
    <sheetView workbookViewId="0">
      <selection activeCell="I1" sqref="I1"/>
    </sheetView>
  </sheetViews>
  <sheetFormatPr defaultRowHeight="14.4" x14ac:dyDescent="0.3"/>
  <cols>
    <col min="1" max="1" width="18.21875" customWidth="1"/>
    <col min="2" max="2" width="27.88671875" customWidth="1"/>
    <col min="3" max="3" width="48.6640625" customWidth="1"/>
    <col min="4" max="4" width="18.5546875" customWidth="1"/>
    <col min="5" max="5" width="13.33203125" customWidth="1"/>
    <col min="6" max="6" width="13.109375" customWidth="1"/>
    <col min="7" max="7" width="14.77734375" customWidth="1"/>
    <col min="8" max="8" width="17.109375" customWidth="1"/>
    <col min="9" max="9" width="19.6640625" customWidth="1"/>
  </cols>
  <sheetData>
    <row r="1" spans="1:9" ht="33" customHeight="1" x14ac:dyDescent="0.3">
      <c r="A1" s="13" t="s">
        <v>206</v>
      </c>
      <c r="B1" s="13"/>
      <c r="C1" s="13"/>
      <c r="D1" s="13"/>
      <c r="E1" s="13"/>
      <c r="F1" s="13"/>
      <c r="G1" s="12" t="s">
        <v>207</v>
      </c>
      <c r="H1" s="12"/>
      <c r="I1" s="21">
        <f>E2/C2</f>
        <v>0.42857142857142855</v>
      </c>
    </row>
    <row r="2" spans="1:9" ht="30" customHeight="1" x14ac:dyDescent="0.3">
      <c r="A2" s="14" t="s">
        <v>208</v>
      </c>
      <c r="B2" s="14"/>
      <c r="C2" s="17">
        <f>COUNTIFS('mint01-SCA'!G:G,"passed")+COUNTIFS('mint01-SCA'!G:G,"failed")</f>
        <v>7</v>
      </c>
      <c r="D2" s="15" t="s">
        <v>209</v>
      </c>
      <c r="E2" s="18">
        <f>COUNTIFS('mint01-SCA'!G:G,"passed")</f>
        <v>3</v>
      </c>
      <c r="F2" s="18"/>
      <c r="G2" s="16" t="s">
        <v>210</v>
      </c>
      <c r="H2" s="19">
        <f>COUNTIFS('mint01-SCA'!G:G,"failed")</f>
        <v>4</v>
      </c>
      <c r="I2" s="19"/>
    </row>
    <row r="3" spans="1:9" ht="18" customHeight="1" x14ac:dyDescent="0.3">
      <c r="A3" s="2" t="s">
        <v>188</v>
      </c>
      <c r="B3" s="2" t="s">
        <v>189</v>
      </c>
      <c r="C3" s="2" t="s">
        <v>190</v>
      </c>
      <c r="D3" s="2" t="s">
        <v>191</v>
      </c>
      <c r="E3" s="2" t="s">
        <v>192</v>
      </c>
      <c r="F3" s="2" t="s">
        <v>193</v>
      </c>
      <c r="G3" s="2" t="s">
        <v>205</v>
      </c>
      <c r="H3" s="2" t="s">
        <v>194</v>
      </c>
      <c r="I3" s="2" t="s">
        <v>195</v>
      </c>
    </row>
    <row r="4" spans="1:9" x14ac:dyDescent="0.3">
      <c r="A4" t="s">
        <v>196</v>
      </c>
      <c r="B4" t="s">
        <v>197</v>
      </c>
      <c r="C4" t="s">
        <v>198</v>
      </c>
      <c r="D4">
        <v>4</v>
      </c>
      <c r="E4">
        <v>4</v>
      </c>
      <c r="F4">
        <f>D4*E4</f>
        <v>16</v>
      </c>
      <c r="G4" s="1" t="str">
        <f>_xlfn.IFS(F4&gt;=20,"Critical", F4&gt;=12,"High", F4&gt;=6,"Medium", TRUE,"Low")</f>
        <v>High</v>
      </c>
      <c r="H4" t="s">
        <v>174</v>
      </c>
      <c r="I4" t="s">
        <v>199</v>
      </c>
    </row>
    <row r="5" spans="1:9" x14ac:dyDescent="0.3">
      <c r="A5" t="s">
        <v>200</v>
      </c>
      <c r="B5" t="s">
        <v>197</v>
      </c>
      <c r="C5" t="s">
        <v>204</v>
      </c>
      <c r="D5">
        <v>4</v>
      </c>
      <c r="E5">
        <v>3</v>
      </c>
      <c r="F5">
        <f t="shared" ref="F5:F7" si="0">D5*E5</f>
        <v>12</v>
      </c>
      <c r="G5" s="1" t="str">
        <f t="shared" ref="G5:G7" si="1">_xlfn.IFS(F5&gt;=20,"Critical", F5&gt;=12,"High", F5&gt;=6,"Medium", TRUE,"Low")</f>
        <v>High</v>
      </c>
      <c r="H5" t="s">
        <v>174</v>
      </c>
      <c r="I5" t="s">
        <v>199</v>
      </c>
    </row>
    <row r="6" spans="1:9" x14ac:dyDescent="0.3">
      <c r="A6" t="s">
        <v>201</v>
      </c>
      <c r="B6" t="s">
        <v>197</v>
      </c>
      <c r="C6" t="s">
        <v>211</v>
      </c>
      <c r="D6">
        <v>3</v>
      </c>
      <c r="E6">
        <v>3</v>
      </c>
      <c r="F6">
        <f t="shared" si="0"/>
        <v>9</v>
      </c>
      <c r="G6" s="1" t="str">
        <f t="shared" si="1"/>
        <v>Medium</v>
      </c>
      <c r="H6" t="s">
        <v>179</v>
      </c>
      <c r="I6" t="s">
        <v>199</v>
      </c>
    </row>
    <row r="7" spans="1:9" x14ac:dyDescent="0.3">
      <c r="A7" t="s">
        <v>202</v>
      </c>
      <c r="B7" t="s">
        <v>197</v>
      </c>
      <c r="C7" t="s">
        <v>203</v>
      </c>
      <c r="D7">
        <v>2</v>
      </c>
      <c r="E7">
        <v>3</v>
      </c>
      <c r="F7">
        <f t="shared" si="0"/>
        <v>6</v>
      </c>
      <c r="G7" s="1" t="str">
        <f t="shared" si="1"/>
        <v>Medium</v>
      </c>
      <c r="H7" t="s">
        <v>179</v>
      </c>
      <c r="I7" t="s">
        <v>199</v>
      </c>
    </row>
  </sheetData>
  <mergeCells count="5">
    <mergeCell ref="A1:F1"/>
    <mergeCell ref="G1:H1"/>
    <mergeCell ref="A2:B2"/>
    <mergeCell ref="H2:I2"/>
    <mergeCell ref="E2:F2"/>
  </mergeCells>
  <conditionalFormatting sqref="G4:G1048576">
    <cfRule type="cellIs" dxfId="3" priority="5" operator="equal">
      <formula>"High"</formula>
    </cfRule>
    <cfRule type="cellIs" dxfId="2" priority="4" operator="equal">
      <formula>"Medium"</formula>
    </cfRule>
    <cfRule type="cellIs" dxfId="1" priority="3" operator="equal">
      <formula>"Critical"</formula>
    </cfRule>
    <cfRule type="cellIs" dxfId="0" priority="2" operator="equal">
      <formula>"Low"</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78CAD-76EB-48B5-B513-C9DABAF4492C}">
  <dimension ref="A1:I7"/>
  <sheetViews>
    <sheetView workbookViewId="0">
      <selection activeCell="D16" sqref="D16"/>
    </sheetView>
  </sheetViews>
  <sheetFormatPr defaultRowHeight="14.4" x14ac:dyDescent="0.3"/>
  <cols>
    <col min="1" max="1" width="18.33203125" customWidth="1"/>
    <col min="2" max="2" width="27.109375" customWidth="1"/>
    <col min="3" max="3" width="49.6640625" customWidth="1"/>
    <col min="4" max="4" width="19.77734375" customWidth="1"/>
    <col min="5" max="5" width="16.77734375" customWidth="1"/>
    <col min="6" max="6" width="10.77734375" customWidth="1"/>
    <col min="7" max="7" width="16.44140625" customWidth="1"/>
    <col min="8" max="8" width="15.109375" customWidth="1"/>
    <col min="9" max="9" width="22.109375" customWidth="1"/>
  </cols>
  <sheetData>
    <row r="1" spans="1:9" ht="35.4" customHeight="1" x14ac:dyDescent="0.3">
      <c r="A1" s="13" t="s">
        <v>206</v>
      </c>
      <c r="B1" s="13"/>
      <c r="C1" s="13"/>
      <c r="D1" s="13"/>
      <c r="E1" s="13"/>
      <c r="F1" s="13"/>
      <c r="G1" s="12" t="s">
        <v>207</v>
      </c>
      <c r="H1" s="12"/>
      <c r="I1" s="20">
        <f>E2/C2</f>
        <v>0.8571428571428571</v>
      </c>
    </row>
    <row r="2" spans="1:9" ht="30.6" customHeight="1" x14ac:dyDescent="0.3">
      <c r="A2" s="14" t="s">
        <v>208</v>
      </c>
      <c r="B2" s="14"/>
      <c r="C2" s="17">
        <f>COUNTIFS('mint01-SCA'!G:G,"passed")+COUNTIFS('mint01-SCA'!G:G,"failed")</f>
        <v>7</v>
      </c>
      <c r="D2" s="15" t="s">
        <v>209</v>
      </c>
      <c r="E2" s="18">
        <v>6</v>
      </c>
      <c r="F2" s="18"/>
      <c r="G2" s="16" t="s">
        <v>210</v>
      </c>
      <c r="H2" s="19">
        <v>1</v>
      </c>
      <c r="I2" s="19"/>
    </row>
    <row r="3" spans="1:9" ht="17.399999999999999" customHeight="1" x14ac:dyDescent="0.3">
      <c r="A3" s="2" t="s">
        <v>188</v>
      </c>
      <c r="B3" s="2" t="s">
        <v>189</v>
      </c>
      <c r="C3" s="2" t="s">
        <v>190</v>
      </c>
      <c r="D3" s="2" t="s">
        <v>191</v>
      </c>
      <c r="E3" s="2" t="s">
        <v>192</v>
      </c>
      <c r="F3" s="2" t="s">
        <v>193</v>
      </c>
      <c r="G3" s="2" t="s">
        <v>205</v>
      </c>
      <c r="H3" s="2" t="s">
        <v>194</v>
      </c>
      <c r="I3" s="2" t="s">
        <v>195</v>
      </c>
    </row>
    <row r="4" spans="1:9" x14ac:dyDescent="0.3">
      <c r="A4" t="s">
        <v>196</v>
      </c>
      <c r="B4" t="s">
        <v>197</v>
      </c>
      <c r="C4" t="s">
        <v>198</v>
      </c>
      <c r="D4">
        <v>4</v>
      </c>
      <c r="E4">
        <v>4</v>
      </c>
      <c r="F4">
        <f>D4*E4</f>
        <v>16</v>
      </c>
      <c r="G4" s="1" t="str">
        <f>_xlfn.IFS(F4&gt;=20,"Critical", F4&gt;=12,"High", F4&gt;=6,"Medium", TRUE,"Low")</f>
        <v>High</v>
      </c>
      <c r="H4" t="s">
        <v>174</v>
      </c>
      <c r="I4" t="s">
        <v>212</v>
      </c>
    </row>
    <row r="5" spans="1:9" x14ac:dyDescent="0.3">
      <c r="A5" t="s">
        <v>200</v>
      </c>
      <c r="B5" t="s">
        <v>197</v>
      </c>
      <c r="C5" t="s">
        <v>204</v>
      </c>
      <c r="D5">
        <v>4</v>
      </c>
      <c r="E5">
        <v>3</v>
      </c>
      <c r="F5">
        <f t="shared" ref="F5:F7" si="0">D5*E5</f>
        <v>12</v>
      </c>
      <c r="G5" s="1" t="str">
        <f t="shared" ref="G5:G7" si="1">_xlfn.IFS(F5&gt;=20,"Critical", F5&gt;=12,"High", F5&gt;=6,"Medium", TRUE,"Low")</f>
        <v>High</v>
      </c>
      <c r="H5" t="s">
        <v>174</v>
      </c>
      <c r="I5" t="s">
        <v>212</v>
      </c>
    </row>
    <row r="6" spans="1:9" x14ac:dyDescent="0.3">
      <c r="A6" t="s">
        <v>201</v>
      </c>
      <c r="B6" t="s">
        <v>197</v>
      </c>
      <c r="C6" t="s">
        <v>211</v>
      </c>
      <c r="D6">
        <v>3</v>
      </c>
      <c r="E6">
        <v>3</v>
      </c>
      <c r="F6">
        <f t="shared" si="0"/>
        <v>9</v>
      </c>
      <c r="G6" s="1" t="str">
        <f t="shared" si="1"/>
        <v>Medium</v>
      </c>
      <c r="H6" t="s">
        <v>179</v>
      </c>
      <c r="I6" t="s">
        <v>212</v>
      </c>
    </row>
    <row r="7" spans="1:9" x14ac:dyDescent="0.3">
      <c r="A7" t="s">
        <v>202</v>
      </c>
      <c r="B7" t="s">
        <v>197</v>
      </c>
      <c r="C7" t="s">
        <v>203</v>
      </c>
      <c r="D7">
        <v>2</v>
      </c>
      <c r="E7">
        <v>3</v>
      </c>
      <c r="F7">
        <f t="shared" si="0"/>
        <v>6</v>
      </c>
      <c r="G7" s="1" t="str">
        <f t="shared" si="1"/>
        <v>Medium</v>
      </c>
      <c r="H7" t="s">
        <v>179</v>
      </c>
      <c r="I7" t="s">
        <v>213</v>
      </c>
    </row>
  </sheetData>
  <mergeCells count="5">
    <mergeCell ref="A1:F1"/>
    <mergeCell ref="G1:H1"/>
    <mergeCell ref="A2:B2"/>
    <mergeCell ref="E2:F2"/>
    <mergeCell ref="H2:I2"/>
  </mergeCells>
  <conditionalFormatting sqref="G4:G7">
    <cfRule type="cellIs" dxfId="4" priority="2" operator="equal">
      <formula>"Low"</formula>
    </cfRule>
    <cfRule type="cellIs" dxfId="5" priority="3" operator="equal">
      <formula>"Critical"</formula>
    </cfRule>
    <cfRule type="cellIs" dxfId="6" priority="4" operator="equal">
      <formula>"Medium"</formula>
    </cfRule>
    <cfRule type="cellIs" dxfId="7" priority="5" operator="equal">
      <formula>"High"</formula>
    </cfRule>
  </conditionalFormatting>
  <conditionalFormatting sqref="I1">
    <cfRule type="colorScale" priority="1">
      <colorScale>
        <cfvo type="percent" val="0"/>
        <cfvo type="percentile" val="50"/>
        <cfvo type="percent" val="100"/>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69D81-D195-461B-B1C4-EA06AC287CBF}">
  <dimension ref="E1:I7"/>
  <sheetViews>
    <sheetView workbookViewId="0">
      <selection activeCell="I12" sqref="I12"/>
    </sheetView>
  </sheetViews>
  <sheetFormatPr defaultRowHeight="14.4" x14ac:dyDescent="0.3"/>
  <cols>
    <col min="5" max="5" width="20.33203125" customWidth="1"/>
    <col min="6" max="6" width="17.6640625" customWidth="1"/>
    <col min="7" max="7" width="14.5546875" customWidth="1"/>
    <col min="8" max="8" width="14.77734375" bestFit="1" customWidth="1"/>
    <col min="9" max="9" width="64" bestFit="1" customWidth="1"/>
  </cols>
  <sheetData>
    <row r="1" spans="5:9" ht="34.799999999999997" customHeight="1" x14ac:dyDescent="0.3">
      <c r="E1" s="10" t="s">
        <v>186</v>
      </c>
      <c r="F1" s="10"/>
      <c r="G1" s="10"/>
      <c r="H1" s="10"/>
      <c r="I1" s="10"/>
    </row>
    <row r="3" spans="5:9" ht="27" customHeight="1" x14ac:dyDescent="0.3">
      <c r="E3" s="11" t="s">
        <v>162</v>
      </c>
      <c r="F3" s="11" t="s">
        <v>163</v>
      </c>
      <c r="G3" s="11" t="s">
        <v>164</v>
      </c>
      <c r="H3" s="11" t="s">
        <v>165</v>
      </c>
      <c r="I3" s="11" t="s">
        <v>166</v>
      </c>
    </row>
    <row r="4" spans="5:9" ht="28.2" customHeight="1" x14ac:dyDescent="0.3">
      <c r="E4" s="8" t="s">
        <v>167</v>
      </c>
      <c r="F4" s="8" t="s">
        <v>168</v>
      </c>
      <c r="G4" s="8" t="s">
        <v>169</v>
      </c>
      <c r="H4" s="8" t="s">
        <v>170</v>
      </c>
      <c r="I4" s="8" t="s">
        <v>187</v>
      </c>
    </row>
    <row r="5" spans="5:9" ht="27" customHeight="1" x14ac:dyDescent="0.3">
      <c r="E5" s="7" t="s">
        <v>171</v>
      </c>
      <c r="F5" s="7" t="s">
        <v>172</v>
      </c>
      <c r="G5" s="7" t="s">
        <v>173</v>
      </c>
      <c r="H5" s="7" t="s">
        <v>174</v>
      </c>
      <c r="I5" s="7" t="s">
        <v>175</v>
      </c>
    </row>
    <row r="6" spans="5:9" ht="25.8" customHeight="1" x14ac:dyDescent="0.3">
      <c r="E6" s="6" t="s">
        <v>176</v>
      </c>
      <c r="F6" s="6" t="s">
        <v>177</v>
      </c>
      <c r="G6" s="6" t="s">
        <v>178</v>
      </c>
      <c r="H6" s="6" t="s">
        <v>179</v>
      </c>
      <c r="I6" s="6" t="s">
        <v>180</v>
      </c>
    </row>
    <row r="7" spans="5:9" ht="32.4" customHeight="1" x14ac:dyDescent="0.3">
      <c r="E7" s="5" t="s">
        <v>181</v>
      </c>
      <c r="F7" s="5" t="s">
        <v>182</v>
      </c>
      <c r="G7" s="5" t="s">
        <v>183</v>
      </c>
      <c r="H7" s="5" t="s">
        <v>184</v>
      </c>
      <c r="I7" s="5" t="s">
        <v>185</v>
      </c>
    </row>
  </sheetData>
  <mergeCells count="1">
    <mergeCell ref="E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mint01-SCA</vt:lpstr>
      <vt:lpstr>Impact Vs Likelihood</vt:lpstr>
      <vt:lpstr>pre-cyberlab-risk-assessment</vt:lpstr>
      <vt:lpstr>post-cyberlab-remediation</vt:lpstr>
      <vt:lpstr>SLA Action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Masood Ahmed</dc:creator>
  <cp:lastModifiedBy>Masood Ahmed</cp:lastModifiedBy>
  <dcterms:created xsi:type="dcterms:W3CDTF">2026-09-30T15:29:21Z</dcterms:created>
  <dcterms:modified xsi:type="dcterms:W3CDTF">2026-09-30T15:29:21Z</dcterms:modified>
</cp:coreProperties>
</file>